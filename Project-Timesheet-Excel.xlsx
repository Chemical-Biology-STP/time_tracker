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thefranciscrickinstitute-my.sharepoint.com/personal/fernang_crick_ac_uk/Documents/"/>
    </mc:Choice>
  </mc:AlternateContent>
  <xr:revisionPtr revIDLastSave="371" documentId="13_ncr:1_{F3D21F7E-126F-42F7-B0BC-82647BC68646}" xr6:coauthVersionLast="47" xr6:coauthVersionMax="47" xr10:uidLastSave="{334E7282-A02E-4B5E-9141-05EBBC7F4F0B}"/>
  <bookViews>
    <workbookView xWindow="-120" yWindow="-120" windowWidth="38640" windowHeight="21120" tabRatio="500" xr2:uid="{00000000-000D-0000-FFFF-FFFF00000000}"/>
  </bookViews>
  <sheets>
    <sheet name="Sila Ultanir" sheetId="6" r:id="rId1"/>
    <sheet name="Eachan Johnson " sheetId="7" r:id="rId2"/>
  </sheets>
  <calcPr calcId="191029" iterateDelta="1E-4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1" i="7" l="1"/>
  <c r="I10" i="7"/>
  <c r="I12" i="7"/>
  <c r="I13" i="7"/>
  <c r="I14" i="7"/>
  <c r="I15" i="7"/>
  <c r="I16" i="7"/>
  <c r="I17" i="7"/>
  <c r="I18" i="7"/>
  <c r="I19" i="7"/>
  <c r="I21" i="7"/>
  <c r="I23" i="7"/>
  <c r="I16" i="6"/>
  <c r="I10" i="6"/>
  <c r="I11" i="6"/>
  <c r="I12" i="6"/>
  <c r="I13" i="6"/>
  <c r="I14" i="6"/>
  <c r="I15" i="6"/>
  <c r="I17" i="6"/>
  <c r="I19" i="6"/>
  <c r="I21" i="6"/>
</calcChain>
</file>

<file path=xl/sharedStrings.xml><?xml version="1.0" encoding="utf-8"?>
<sst xmlns="http://schemas.openxmlformats.org/spreadsheetml/2006/main" count="54" uniqueCount="33">
  <si>
    <t>Total Hours</t>
  </si>
  <si>
    <t>Employee Signature:</t>
  </si>
  <si>
    <t>Rate Per Hour</t>
  </si>
  <si>
    <t>Manager Signature:</t>
  </si>
  <si>
    <t>Total Pay</t>
  </si>
  <si>
    <t xml:space="preserve"> </t>
  </si>
  <si>
    <t>Task</t>
  </si>
  <si>
    <t>Date</t>
  </si>
  <si>
    <t>Start Time</t>
  </si>
  <si>
    <t>End Time</t>
  </si>
  <si>
    <t>StartTime</t>
  </si>
  <si>
    <t>EndTime</t>
  </si>
  <si>
    <t>FRANCIS CRICK INSTITUTE</t>
  </si>
  <si>
    <t>Employee Name: Guilherme Fernandes</t>
  </si>
  <si>
    <t>Manager Name: Christelle Soudy</t>
  </si>
  <si>
    <t>Project Name:</t>
  </si>
  <si>
    <t>Research Group:</t>
  </si>
  <si>
    <t>Sila Ultanir</t>
  </si>
  <si>
    <t>CDKL2 Activators</t>
  </si>
  <si>
    <t>Eachan Johnson</t>
  </si>
  <si>
    <t>Mtb SerA Inhibitors</t>
  </si>
  <si>
    <t>Synthesis plan and ordering chemicals</t>
  </si>
  <si>
    <t>Meeting with Simone discuss about SPR</t>
  </si>
  <si>
    <t>Catchup with Stephane - Costing</t>
  </si>
  <si>
    <t>Drafting costing plan</t>
  </si>
  <si>
    <t>Catchup with Svend - Costing</t>
  </si>
  <si>
    <t>Synthesis plan for the analogues</t>
  </si>
  <si>
    <t>Meeting with Sila, Svend, Pete, Christelle</t>
  </si>
  <si>
    <t>Meeting with Loulou Foundation</t>
  </si>
  <si>
    <t>Meeting with Mike</t>
  </si>
  <si>
    <t>Lab Work - GF-11</t>
  </si>
  <si>
    <t>Lab Work - GF-12</t>
  </si>
  <si>
    <t>Lab Work - GF-11-Boc Scale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</si>
</sst>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"/>
    <numFmt numFmtId="165" formatCode="[h]:mm"/>
    <numFmt numFmtId="167" formatCode="_-[$£-809]* #,##0.00_-;\-[$£-809]* #,##0.00_-;_-[$£-809]* &quot;-&quot;??_-;_-@_-"/>
  </numFmts>
  <fonts count="12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Verdana"/>
      <family val="2"/>
    </font>
    <font>
      <b/>
      <sz val="11"/>
      <name val="Verdana"/>
      <family val="2"/>
    </font>
    <font>
      <sz val="11"/>
      <name val="Verdana"/>
      <family val="2"/>
    </font>
    <font>
      <b/>
      <sz val="10"/>
      <name val="Verdana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sz val="10"/>
      <color rgb="FF000000"/>
      <name val="Arial"/>
      <family val="2"/>
    </font>
    <font>
      <b/>
      <sz val="14"/>
      <color theme="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rgb="FFA4C2F4"/>
      </patternFill>
    </fill>
    <fill>
      <patternFill patternType="solid">
        <fgColor rgb="FF9BB9FB"/>
        <bgColor rgb="FFC9DAF8"/>
      </patternFill>
    </fill>
    <fill>
      <patternFill patternType="solid">
        <fgColor rgb="FFFFF2CC"/>
        <bgColor rgb="FFFCE5CD"/>
      </patternFill>
    </fill>
    <fill>
      <patternFill patternType="solid">
        <fgColor rgb="FF9BB9FB"/>
        <bgColor indexed="64"/>
      </patternFill>
    </fill>
    <fill>
      <patternFill patternType="solid">
        <fgColor rgb="FF9BB9FB"/>
        <bgColor rgb="FFFFF2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43">
    <xf numFmtId="0" fontId="0" fillId="0" borderId="0" xfId="0"/>
    <xf numFmtId="0" fontId="2" fillId="2" borderId="0" xfId="1" applyFont="1" applyFill="1"/>
    <xf numFmtId="0" fontId="2" fillId="2" borderId="0" xfId="1" applyFont="1" applyFill="1" applyAlignment="1"/>
    <xf numFmtId="0" fontId="4" fillId="2" borderId="0" xfId="1" applyFont="1" applyFill="1"/>
    <xf numFmtId="0" fontId="2" fillId="0" borderId="0" xfId="1" applyFont="1"/>
    <xf numFmtId="0" fontId="2" fillId="2" borderId="0" xfId="1" applyFont="1" applyFill="1" applyAlignment="1">
      <alignment vertical="center"/>
    </xf>
    <xf numFmtId="18" fontId="2" fillId="0" borderId="1" xfId="1" applyNumberFormat="1" applyFont="1" applyBorder="1" applyAlignment="1">
      <alignment horizontal="center" vertical="center"/>
    </xf>
    <xf numFmtId="18" fontId="2" fillId="0" borderId="2" xfId="1" applyNumberFormat="1" applyFont="1" applyBorder="1" applyAlignment="1">
      <alignment horizontal="center" vertical="center"/>
    </xf>
    <xf numFmtId="19" fontId="2" fillId="4" borderId="5" xfId="1" applyNumberFormat="1" applyFont="1" applyFill="1" applyBorder="1" applyAlignment="1">
      <alignment horizontal="center" vertical="center"/>
    </xf>
    <xf numFmtId="18" fontId="2" fillId="0" borderId="4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9" fontId="2" fillId="4" borderId="6" xfId="1" applyNumberFormat="1" applyFont="1" applyFill="1" applyBorder="1" applyAlignment="1">
      <alignment horizontal="center" vertical="center"/>
    </xf>
    <xf numFmtId="0" fontId="5" fillId="2" borderId="0" xfId="1" applyFont="1" applyFill="1" applyAlignment="1"/>
    <xf numFmtId="0" fontId="9" fillId="2" borderId="0" xfId="1" applyFont="1" applyFill="1" applyAlignment="1">
      <alignment vertical="center"/>
    </xf>
    <xf numFmtId="18" fontId="9" fillId="0" borderId="1" xfId="1" applyNumberFormat="1" applyFont="1" applyBorder="1" applyAlignment="1">
      <alignment horizontal="center" vertical="center"/>
    </xf>
    <xf numFmtId="18" fontId="9" fillId="0" borderId="2" xfId="1" applyNumberFormat="1" applyFont="1" applyBorder="1" applyAlignment="1">
      <alignment horizontal="center" vertical="center"/>
    </xf>
    <xf numFmtId="19" fontId="9" fillId="4" borderId="5" xfId="1" applyNumberFormat="1" applyFont="1" applyFill="1" applyBorder="1" applyAlignment="1">
      <alignment horizontal="center" vertical="center"/>
    </xf>
    <xf numFmtId="18" fontId="9" fillId="0" borderId="4" xfId="1" applyNumberFormat="1" applyFont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/>
    </xf>
    <xf numFmtId="0" fontId="10" fillId="0" borderId="0" xfId="1" applyFont="1" applyAlignment="1"/>
    <xf numFmtId="0" fontId="1" fillId="0" borderId="0" xfId="1" applyFont="1" applyAlignment="1"/>
    <xf numFmtId="49" fontId="9" fillId="0" borderId="7" xfId="1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0" fontId="2" fillId="2" borderId="0" xfId="1" applyFont="1" applyFill="1" applyAlignment="1">
      <alignment horizontal="right"/>
    </xf>
    <xf numFmtId="164" fontId="2" fillId="0" borderId="1" xfId="1" applyNumberFormat="1" applyFont="1" applyBorder="1" applyAlignment="1">
      <alignment horizontal="center" vertical="center"/>
    </xf>
    <xf numFmtId="0" fontId="1" fillId="0" borderId="0" xfId="1" applyFont="1" applyAlignment="1"/>
    <xf numFmtId="0" fontId="3" fillId="2" borderId="0" xfId="1" applyFont="1" applyFill="1" applyAlignment="1">
      <alignment vertical="center"/>
    </xf>
    <xf numFmtId="0" fontId="1" fillId="0" borderId="0" xfId="1" applyFont="1" applyAlignment="1">
      <alignment vertical="center"/>
    </xf>
    <xf numFmtId="0" fontId="3" fillId="2" borderId="0" xfId="1" applyFont="1" applyFill="1" applyAlignment="1">
      <alignment horizontal="left" vertical="center"/>
    </xf>
    <xf numFmtId="164" fontId="4" fillId="3" borderId="0" xfId="1" applyNumberFormat="1" applyFont="1" applyFill="1" applyAlignment="1">
      <alignment horizontal="center" vertical="center"/>
    </xf>
    <xf numFmtId="0" fontId="4" fillId="3" borderId="0" xfId="1" applyNumberFormat="1" applyFont="1" applyFill="1" applyAlignment="1">
      <alignment horizontal="center" vertical="center"/>
    </xf>
    <xf numFmtId="165" fontId="5" fillId="6" borderId="0" xfId="1" applyNumberFormat="1" applyFont="1" applyFill="1" applyAlignment="1">
      <alignment horizontal="center"/>
    </xf>
    <xf numFmtId="167" fontId="5" fillId="6" borderId="0" xfId="1" applyNumberFormat="1" applyFont="1" applyFill="1" applyAlignment="1">
      <alignment horizontal="center"/>
    </xf>
    <xf numFmtId="167" fontId="2" fillId="7" borderId="0" xfId="1" applyNumberFormat="1" applyFont="1" applyFill="1" applyAlignment="1">
      <alignment horizontal="center"/>
    </xf>
    <xf numFmtId="0" fontId="5" fillId="8" borderId="7" xfId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 vertical="center"/>
    </xf>
    <xf numFmtId="0" fontId="5" fillId="8" borderId="1" xfId="1" applyFont="1" applyFill="1" applyBorder="1" applyAlignment="1">
      <alignment horizontal="center" vertical="center"/>
    </xf>
    <xf numFmtId="0" fontId="5" fillId="8" borderId="2" xfId="1" applyFont="1" applyFill="1" applyBorder="1" applyAlignment="1">
      <alignment horizontal="center" vertical="center"/>
    </xf>
    <xf numFmtId="0" fontId="8" fillId="9" borderId="3" xfId="1" applyFont="1" applyFill="1" applyBorder="1" applyAlignment="1">
      <alignment horizontal="center" vertical="center"/>
    </xf>
    <xf numFmtId="0" fontId="5" fillId="8" borderId="4" xfId="1" applyFont="1" applyFill="1" applyBorder="1" applyAlignment="1">
      <alignment horizontal="center" vertical="center"/>
    </xf>
    <xf numFmtId="14" fontId="2" fillId="0" borderId="6" xfId="1" applyNumberFormat="1" applyFont="1" applyBorder="1" applyAlignment="1">
      <alignment horizontal="center" vertical="center"/>
    </xf>
    <xf numFmtId="0" fontId="3" fillId="2" borderId="0" xfId="1" applyFont="1" applyFill="1" applyAlignment="1">
      <alignment horizontal="left" vertical="center"/>
    </xf>
    <xf numFmtId="0" fontId="11" fillId="5" borderId="0" xfId="1" applyFont="1" applyFill="1" applyAlignment="1">
      <alignment horizontal="center" vertical="center"/>
    </xf>
  </cellXfs>
  <cellStyles count="1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2" xfId="1" xr:uid="{00000000-0005-0000-0000-000011000000}"/>
  </cellStyles>
  <dxfs count="9"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sz val="10"/>
      </font>
      <fill>
        <patternFill patternType="solid">
          <bgColor rgb="FF9BB9FB"/>
        </patternFill>
      </fill>
    </dxf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sz val="10"/>
      </font>
      <fill>
        <patternFill patternType="solid">
          <bgColor rgb="FF9BB9FB"/>
        </patternFill>
      </fill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</dxfs>
  <tableStyles count="1" defaultTableStyle="TableStyleMedium9" defaultPivotStyle="PivotStyleMedium7">
    <tableStyle name="Weekly Timesheet Sample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colors>
    <mruColors>
      <color rgb="FF9BB9FB"/>
      <color rgb="FFFFF2CC"/>
      <color rgb="FF98EDFE"/>
      <color rgb="FF97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988446</xdr:colOff>
      <xdr:row>2</xdr:row>
      <xdr:rowOff>47831</xdr:rowOff>
    </xdr:from>
    <xdr:to>
      <xdr:col>8</xdr:col>
      <xdr:colOff>1024388</xdr:colOff>
      <xdr:row>7</xdr:row>
      <xdr:rowOff>0</xdr:rowOff>
    </xdr:to>
    <xdr:pic>
      <xdr:nvPicPr>
        <xdr:cNvPr id="2" name="Picture 1" descr="Francis Crick Institute - Wikipedia">
          <a:extLst>
            <a:ext uri="{FF2B5EF4-FFF2-40B4-BE49-F238E27FC236}">
              <a16:creationId xmlns:a16="http://schemas.microsoft.com/office/drawing/2014/main" id="{110CBF38-7DEE-4A33-8EB0-FCE222C1D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2573" y="497123"/>
          <a:ext cx="1141202" cy="123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988446</xdr:colOff>
      <xdr:row>2</xdr:row>
      <xdr:rowOff>47831</xdr:rowOff>
    </xdr:from>
    <xdr:to>
      <xdr:col>8</xdr:col>
      <xdr:colOff>1024388</xdr:colOff>
      <xdr:row>7</xdr:row>
      <xdr:rowOff>0</xdr:rowOff>
    </xdr:to>
    <xdr:pic>
      <xdr:nvPicPr>
        <xdr:cNvPr id="2" name="Picture 1" descr="Francis Crick Institute - Wikipedia">
          <a:extLst>
            <a:ext uri="{FF2B5EF4-FFF2-40B4-BE49-F238E27FC236}">
              <a16:creationId xmlns:a16="http://schemas.microsoft.com/office/drawing/2014/main" id="{384341DA-28BB-40ED-90DE-E21E9156E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1046" y="495506"/>
          <a:ext cx="1140842" cy="12285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8F8A8-0895-4D90-B4DA-092E21548596}" name="Weekly_Timesheet_Sample32" displayName="Weekly_Timesheet_Sample32" ref="B9:I17" headerRowDxfId="5">
  <tableColumns count="8">
    <tableColumn id="1" xr3:uid="{0D1319A4-D676-43E4-9927-45EACB3CEA9D}" name="Date" dataDxfId="4"/>
    <tableColumn id="12" xr3:uid="{12CF932F-9DA7-45AE-B62E-F9117579CEB0}" name="Task" dataDxfId="3"/>
    <tableColumn id="3" xr3:uid="{F4753FD0-D96A-41D7-9DF6-81D8F4A4C653}" name="Start Time"/>
    <tableColumn id="4" xr3:uid="{A35C4049-2B4A-473D-98D8-02111D59CE7D}" name="End Time"/>
    <tableColumn id="5" xr3:uid="{B6CE4D60-3F85-474A-A322-B1133CEF93E0}" name=" "/>
    <tableColumn id="6" xr3:uid="{5CAE33B0-919E-4BB3-90B1-957F8017797B}" name="StartTime"/>
    <tableColumn id="7" xr3:uid="{A53381D1-134E-4142-AD9D-AEB74A45CA65}" name="EndTime"/>
    <tableColumn id="8" xr3:uid="{CE78BBC4-FAD9-4649-8E07-F49E68241B08}" name="Total Hours">
      <calculatedColumnFormula>(E10-D10)+(H10-G10)</calculatedColumnFormula>
    </tableColumn>
  </tableColumns>
  <tableStyleInfo name="Weekly Timesheet Samp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21CDBC-1B7A-4024-9E75-1EEF4B0DC642}" name="Weekly_Timesheet_Sample324" displayName="Weekly_Timesheet_Sample324" ref="B9:I19" headerRowDxfId="2">
  <tableColumns count="8">
    <tableColumn id="1" xr3:uid="{FE8E5326-A0D9-4504-B349-9F80DA2372AF}" name="Date" dataDxfId="1"/>
    <tableColumn id="12" xr3:uid="{8B469BC5-E294-405D-90C7-7B9D8055D313}" name="Task" dataDxfId="0"/>
    <tableColumn id="3" xr3:uid="{37F39C3D-2A36-41CE-A94C-9DB12A813668}" name="Start Time"/>
    <tableColumn id="4" xr3:uid="{428EBABD-CBAC-4972-B388-58C7D7152E00}" name="End Time"/>
    <tableColumn id="5" xr3:uid="{F34FB503-CFD5-4570-8CE1-428BD1766E89}" name=" "/>
    <tableColumn id="6" xr3:uid="{84940765-B84A-4885-AC79-36CDB23F9C13}" name="StartTime"/>
    <tableColumn id="7" xr3:uid="{6BC21640-117E-4728-AA5B-6EE8E84FA23A}" name="EndTime"/>
    <tableColumn id="8" xr3:uid="{48F6D085-3FC7-4CDB-8EDF-4CB485E299F5}" name="Total Hours">
      <calculatedColumnFormula>(E10-D10)+(H10-G10)</calculatedColumnFormula>
    </tableColumn>
  </tableColumns>
  <tableStyleInfo name="Weekly Timesheet Sampl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F97A-D70A-48CC-8247-F2E713416A9A}">
  <dimension ref="A1:O29"/>
  <sheetViews>
    <sheetView showGridLines="0" tabSelected="1" zoomScale="130" zoomScaleNormal="130" zoomScalePageLayoutView="134" workbookViewId="0">
      <selection activeCell="C15" sqref="C15"/>
    </sheetView>
  </sheetViews>
  <sheetFormatPr defaultColWidth="14.5" defaultRowHeight="15.75" customHeight="1" x14ac:dyDescent="0.2"/>
  <cols>
    <col min="1" max="1" width="5.5" style="20" customWidth="1"/>
    <col min="2" max="2" width="18.625" style="20" customWidth="1"/>
    <col min="3" max="3" width="54" style="20" customWidth="1"/>
    <col min="4" max="4" width="14.625" style="20" customWidth="1"/>
    <col min="5" max="5" width="14.5" style="20" customWidth="1"/>
    <col min="6" max="6" width="1.25" style="20" customWidth="1"/>
    <col min="7" max="16384" width="14.5" style="20"/>
  </cols>
  <sheetData>
    <row r="1" spans="1:10" ht="12.75" x14ac:dyDescent="0.2">
      <c r="A1" s="1"/>
      <c r="B1" s="1"/>
      <c r="C1" s="1"/>
      <c r="D1" s="1"/>
      <c r="E1" s="1"/>
      <c r="F1" s="1"/>
      <c r="G1" s="1"/>
    </row>
    <row r="2" spans="1:10" ht="22.5" customHeight="1" x14ac:dyDescent="0.2">
      <c r="A2" s="2"/>
      <c r="B2" s="42" t="s">
        <v>12</v>
      </c>
      <c r="C2" s="42"/>
      <c r="D2" s="42"/>
      <c r="E2" s="42"/>
      <c r="F2" s="42"/>
      <c r="G2" s="42"/>
      <c r="H2" s="42"/>
      <c r="I2" s="42"/>
    </row>
    <row r="3" spans="1:10" ht="12.75" x14ac:dyDescent="0.2">
      <c r="A3" s="1"/>
      <c r="B3" s="1"/>
      <c r="C3" s="1"/>
      <c r="D3" s="1"/>
      <c r="E3" s="1"/>
      <c r="F3" s="1"/>
      <c r="G3" s="1"/>
    </row>
    <row r="4" spans="1:10" ht="23.25" customHeight="1" x14ac:dyDescent="0.2">
      <c r="A4" s="2"/>
      <c r="B4" s="26" t="s">
        <v>13</v>
      </c>
      <c r="C4" s="27"/>
      <c r="D4" s="3"/>
      <c r="E4" s="4"/>
      <c r="F4" s="4"/>
      <c r="G4" s="1"/>
    </row>
    <row r="5" spans="1:10" ht="22.5" customHeight="1" x14ac:dyDescent="0.2">
      <c r="A5" s="2"/>
      <c r="B5" s="41" t="s">
        <v>14</v>
      </c>
      <c r="C5" s="41"/>
    </row>
    <row r="6" spans="1:10" ht="21" customHeight="1" x14ac:dyDescent="0.2">
      <c r="A6" s="1"/>
      <c r="B6" s="28" t="s">
        <v>15</v>
      </c>
      <c r="C6" s="29" t="s">
        <v>18</v>
      </c>
      <c r="D6" s="1"/>
      <c r="E6" s="1"/>
      <c r="F6" s="1"/>
      <c r="G6" s="1"/>
    </row>
    <row r="7" spans="1:10" s="25" customFormat="1" ht="21" customHeight="1" x14ac:dyDescent="0.2">
      <c r="A7" s="1"/>
      <c r="B7" s="28" t="s">
        <v>16</v>
      </c>
      <c r="C7" s="30" t="s">
        <v>17</v>
      </c>
      <c r="D7" s="1"/>
      <c r="E7" s="1"/>
      <c r="F7" s="1"/>
      <c r="G7" s="1"/>
    </row>
    <row r="8" spans="1:10" s="25" customFormat="1" ht="10.5" customHeight="1" x14ac:dyDescent="0.2">
      <c r="A8" s="1"/>
      <c r="B8" s="28"/>
      <c r="C8" s="5"/>
      <c r="D8" s="1"/>
      <c r="E8" s="1"/>
      <c r="F8" s="1"/>
      <c r="G8" s="1"/>
    </row>
    <row r="9" spans="1:10" s="19" customFormat="1" ht="26.25" customHeight="1" x14ac:dyDescent="0.2">
      <c r="A9" s="13"/>
      <c r="B9" s="34" t="s">
        <v>7</v>
      </c>
      <c r="C9" s="35" t="s">
        <v>6</v>
      </c>
      <c r="D9" s="36" t="s">
        <v>8</v>
      </c>
      <c r="E9" s="37" t="s">
        <v>9</v>
      </c>
      <c r="F9" s="38" t="s">
        <v>5</v>
      </c>
      <c r="G9" s="39" t="s">
        <v>10</v>
      </c>
      <c r="H9" s="36" t="s">
        <v>11</v>
      </c>
      <c r="I9" s="35" t="s">
        <v>0</v>
      </c>
      <c r="J9" s="13"/>
    </row>
    <row r="10" spans="1:10" s="19" customFormat="1" ht="21.75" customHeight="1" x14ac:dyDescent="0.2">
      <c r="A10" s="13"/>
      <c r="B10" s="40">
        <v>45779</v>
      </c>
      <c r="C10" s="22" t="s">
        <v>23</v>
      </c>
      <c r="D10" s="14">
        <v>0.45833333333333331</v>
      </c>
      <c r="E10" s="15">
        <v>0.5</v>
      </c>
      <c r="F10" s="16"/>
      <c r="G10" s="17"/>
      <c r="H10" s="14"/>
      <c r="I10" s="18">
        <f t="shared" ref="I10:I17" si="0">(E10-D10)+(H10-G10)</f>
        <v>4.1666666666666685E-2</v>
      </c>
      <c r="J10" s="13"/>
    </row>
    <row r="11" spans="1:10" ht="21.75" customHeight="1" x14ac:dyDescent="0.2">
      <c r="A11" s="5"/>
      <c r="B11" s="40">
        <v>45789</v>
      </c>
      <c r="C11" s="22" t="s">
        <v>24</v>
      </c>
      <c r="D11" s="6">
        <v>0.375</v>
      </c>
      <c r="E11" s="7">
        <v>0.5</v>
      </c>
      <c r="F11" s="8"/>
      <c r="G11" s="9"/>
      <c r="H11" s="6"/>
      <c r="I11" s="10">
        <f t="shared" si="0"/>
        <v>0.125</v>
      </c>
      <c r="J11" s="5"/>
    </row>
    <row r="12" spans="1:10" ht="21.75" customHeight="1" x14ac:dyDescent="0.2">
      <c r="A12" s="5"/>
      <c r="B12" s="40">
        <v>45793</v>
      </c>
      <c r="C12" s="22" t="s">
        <v>25</v>
      </c>
      <c r="D12" s="6"/>
      <c r="E12" s="7"/>
      <c r="F12" s="8"/>
      <c r="G12" s="9">
        <v>0.54166666666666663</v>
      </c>
      <c r="H12" s="6">
        <v>0.58333333333333337</v>
      </c>
      <c r="I12" s="10">
        <f t="shared" si="0"/>
        <v>4.1666666666666741E-2</v>
      </c>
      <c r="J12" s="5"/>
    </row>
    <row r="13" spans="1:10" ht="21.75" customHeight="1" x14ac:dyDescent="0.2">
      <c r="A13" s="5"/>
      <c r="B13" s="40">
        <v>45847</v>
      </c>
      <c r="C13" s="22" t="s">
        <v>27</v>
      </c>
      <c r="D13" s="6">
        <v>0.375</v>
      </c>
      <c r="E13" s="7">
        <v>0.41666666666666669</v>
      </c>
      <c r="F13" s="8"/>
      <c r="G13" s="9"/>
      <c r="H13" s="6"/>
      <c r="I13" s="10">
        <f t="shared" si="0"/>
        <v>4.1666666666666685E-2</v>
      </c>
      <c r="J13" s="5"/>
    </row>
    <row r="14" spans="1:10" ht="21.75" customHeight="1" x14ac:dyDescent="0.2">
      <c r="A14" s="5"/>
      <c r="B14" s="40">
        <v>45848</v>
      </c>
      <c r="C14" s="22" t="s">
        <v>28</v>
      </c>
      <c r="D14" s="6"/>
      <c r="E14" s="7"/>
      <c r="F14" s="8"/>
      <c r="G14" s="9">
        <v>0.58333333333333337</v>
      </c>
      <c r="H14" s="6">
        <v>0.625</v>
      </c>
      <c r="I14" s="10">
        <f t="shared" si="0"/>
        <v>4.166666666666663E-2</v>
      </c>
      <c r="J14" s="5"/>
    </row>
    <row r="15" spans="1:10" ht="21.75" customHeight="1" x14ac:dyDescent="0.2">
      <c r="A15" s="5"/>
      <c r="B15" s="40">
        <v>45852</v>
      </c>
      <c r="C15" s="22" t="s">
        <v>29</v>
      </c>
      <c r="D15" s="14">
        <v>0.45833333333333331</v>
      </c>
      <c r="E15" s="15">
        <v>0.5</v>
      </c>
      <c r="F15" s="8"/>
      <c r="G15" s="9"/>
      <c r="H15" s="6"/>
      <c r="I15" s="10">
        <f t="shared" si="0"/>
        <v>4.1666666666666685E-2</v>
      </c>
      <c r="J15" s="5"/>
    </row>
    <row r="16" spans="1:10" s="25" customFormat="1" ht="21.75" customHeight="1" x14ac:dyDescent="0.2">
      <c r="A16" s="5"/>
      <c r="B16" s="24"/>
      <c r="C16" s="21"/>
      <c r="D16" s="6"/>
      <c r="E16" s="7"/>
      <c r="F16" s="8"/>
      <c r="G16" s="9"/>
      <c r="H16" s="6"/>
      <c r="I16" s="10">
        <f>(E16-D16)+(H16-G16)</f>
        <v>0</v>
      </c>
      <c r="J16" s="5"/>
    </row>
    <row r="17" spans="1:15" ht="21.75" customHeight="1" x14ac:dyDescent="0.25">
      <c r="A17" s="5"/>
      <c r="B17" s="24"/>
      <c r="C17" s="21"/>
      <c r="D17" s="6"/>
      <c r="E17" s="7"/>
      <c r="F17" s="11"/>
      <c r="G17" s="9"/>
      <c r="H17" s="6"/>
      <c r="I17" s="10">
        <f t="shared" si="0"/>
        <v>0</v>
      </c>
      <c r="J17" s="5"/>
      <c r="O17"/>
    </row>
    <row r="18" spans="1:15" ht="21.75" customHeight="1" x14ac:dyDescent="0.2">
      <c r="A18" s="5"/>
      <c r="B18" s="5"/>
      <c r="C18" s="5"/>
      <c r="D18" s="5"/>
      <c r="E18" s="5"/>
      <c r="F18" s="5"/>
      <c r="G18" s="5"/>
    </row>
    <row r="19" spans="1:15" ht="21.75" customHeight="1" x14ac:dyDescent="0.2">
      <c r="A19" s="5"/>
      <c r="B19" s="5"/>
      <c r="C19" s="5"/>
      <c r="H19" s="12" t="s">
        <v>0</v>
      </c>
      <c r="I19" s="31">
        <f>SUM(I10:I17)</f>
        <v>0.33333333333333343</v>
      </c>
    </row>
    <row r="20" spans="1:15" ht="27" customHeight="1" x14ac:dyDescent="0.2">
      <c r="A20" s="5"/>
      <c r="B20" s="12" t="s">
        <v>1</v>
      </c>
      <c r="C20" s="1"/>
      <c r="H20" s="2" t="s">
        <v>2</v>
      </c>
      <c r="I20" s="33">
        <v>107.93</v>
      </c>
    </row>
    <row r="21" spans="1:15" ht="27" customHeight="1" x14ac:dyDescent="0.2">
      <c r="A21" s="5"/>
      <c r="B21" s="12" t="s">
        <v>3</v>
      </c>
      <c r="C21" s="1"/>
      <c r="H21" s="12" t="s">
        <v>4</v>
      </c>
      <c r="I21" s="32">
        <f>(I19*24)*I20</f>
        <v>863.44000000000028</v>
      </c>
    </row>
    <row r="22" spans="1:15" ht="12.75" x14ac:dyDescent="0.2">
      <c r="A22" s="5"/>
      <c r="B22" s="5"/>
      <c r="C22" s="5"/>
      <c r="D22" s="5"/>
      <c r="E22" s="5"/>
      <c r="F22" s="5"/>
      <c r="G22" s="5"/>
    </row>
    <row r="23" spans="1:15" ht="12.75" x14ac:dyDescent="0.2">
      <c r="A23" s="5"/>
      <c r="B23" s="5"/>
      <c r="C23" s="5"/>
      <c r="D23" s="5"/>
      <c r="E23" s="5"/>
      <c r="F23" s="5"/>
      <c r="G23" s="5"/>
    </row>
    <row r="24" spans="1:15" ht="12.75" x14ac:dyDescent="0.2">
      <c r="A24" s="5"/>
      <c r="B24" s="5"/>
      <c r="C24" s="5"/>
      <c r="D24" s="5"/>
      <c r="E24" s="5"/>
      <c r="F24" s="5"/>
      <c r="G24" s="5"/>
    </row>
    <row r="25" spans="1:15" ht="18" customHeight="1" x14ac:dyDescent="0.2">
      <c r="A25" s="1"/>
      <c r="B25" s="4"/>
      <c r="C25" s="4"/>
      <c r="D25" s="1"/>
      <c r="E25" s="1"/>
      <c r="F25" s="1"/>
      <c r="G25" s="1"/>
    </row>
    <row r="26" spans="1:15" ht="17.25" customHeight="1" x14ac:dyDescent="0.2">
      <c r="A26" s="1"/>
      <c r="B26" s="4"/>
      <c r="C26" s="4"/>
      <c r="D26" s="1"/>
      <c r="I26" s="23"/>
    </row>
    <row r="27" spans="1:15" ht="11.25" customHeight="1" x14ac:dyDescent="0.2">
      <c r="A27" s="1"/>
      <c r="B27" s="1"/>
      <c r="C27" s="1"/>
      <c r="D27" s="1"/>
      <c r="E27" s="1"/>
      <c r="F27" s="1"/>
      <c r="G27" s="1"/>
    </row>
    <row r="28" spans="1:15" ht="12" customHeight="1" x14ac:dyDescent="0.2">
      <c r="A28" s="1"/>
      <c r="B28" s="1"/>
      <c r="C28" s="1"/>
      <c r="D28" s="1"/>
      <c r="E28" s="1"/>
      <c r="F28" s="2"/>
      <c r="G28" s="1"/>
    </row>
    <row r="29" spans="1:15" ht="12.75" x14ac:dyDescent="0.2">
      <c r="A29" s="1"/>
      <c r="B29" s="1"/>
      <c r="C29" s="1"/>
      <c r="D29" s="1"/>
      <c r="E29" s="2"/>
      <c r="G29" s="1"/>
    </row>
  </sheetData>
  <mergeCells count="2">
    <mergeCell ref="B5:C5"/>
    <mergeCell ref="B2:I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23C0-3664-4A48-B2B2-CBBB001363B1}">
  <dimension ref="A1:O31"/>
  <sheetViews>
    <sheetView showGridLines="0" zoomScale="130" zoomScaleNormal="130" zoomScalePageLayoutView="134" workbookViewId="0">
      <selection activeCell="H17" sqref="H17"/>
    </sheetView>
  </sheetViews>
  <sheetFormatPr defaultColWidth="14.5" defaultRowHeight="15.75" customHeight="1" x14ac:dyDescent="0.2"/>
  <cols>
    <col min="1" max="1" width="5.5" style="25" customWidth="1"/>
    <col min="2" max="2" width="18.625" style="25" customWidth="1"/>
    <col min="3" max="3" width="54" style="25" customWidth="1"/>
    <col min="4" max="4" width="14.625" style="25" customWidth="1"/>
    <col min="5" max="5" width="14.5" style="25" customWidth="1"/>
    <col min="6" max="6" width="1.25" style="25" customWidth="1"/>
    <col min="7" max="16384" width="14.5" style="25"/>
  </cols>
  <sheetData>
    <row r="1" spans="1:10" ht="12.75" x14ac:dyDescent="0.2">
      <c r="A1" s="1"/>
      <c r="B1" s="1"/>
      <c r="C1" s="1"/>
      <c r="D1" s="1"/>
      <c r="E1" s="1"/>
      <c r="F1" s="1"/>
      <c r="G1" s="1"/>
    </row>
    <row r="2" spans="1:10" ht="22.5" customHeight="1" x14ac:dyDescent="0.2">
      <c r="A2" s="2"/>
      <c r="B2" s="42" t="s">
        <v>12</v>
      </c>
      <c r="C2" s="42"/>
      <c r="D2" s="42"/>
      <c r="E2" s="42"/>
      <c r="F2" s="42"/>
      <c r="G2" s="42"/>
      <c r="H2" s="42"/>
      <c r="I2" s="42"/>
    </row>
    <row r="3" spans="1:10" ht="12.75" x14ac:dyDescent="0.2">
      <c r="A3" s="1"/>
      <c r="B3" s="1"/>
      <c r="C3" s="1"/>
      <c r="D3" s="1"/>
      <c r="E3" s="1"/>
      <c r="F3" s="1"/>
      <c r="G3" s="1"/>
    </row>
    <row r="4" spans="1:10" ht="23.25" customHeight="1" x14ac:dyDescent="0.2">
      <c r="A4" s="2"/>
      <c r="B4" s="26" t="s">
        <v>13</v>
      </c>
      <c r="C4" s="27"/>
      <c r="D4" s="3"/>
      <c r="E4" s="4"/>
      <c r="F4" s="4"/>
      <c r="G4" s="1"/>
    </row>
    <row r="5" spans="1:10" ht="22.5" customHeight="1" x14ac:dyDescent="0.2">
      <c r="A5" s="2"/>
      <c r="B5" s="41" t="s">
        <v>14</v>
      </c>
      <c r="C5" s="41"/>
    </row>
    <row r="6" spans="1:10" ht="21" customHeight="1" x14ac:dyDescent="0.2">
      <c r="A6" s="1"/>
      <c r="B6" s="28" t="s">
        <v>15</v>
      </c>
      <c r="C6" s="29" t="s">
        <v>20</v>
      </c>
      <c r="D6" s="1"/>
      <c r="E6" s="1"/>
      <c r="F6" s="1"/>
      <c r="G6" s="1"/>
    </row>
    <row r="7" spans="1:10" ht="21" customHeight="1" x14ac:dyDescent="0.2">
      <c r="A7" s="1"/>
      <c r="B7" s="28" t="s">
        <v>16</v>
      </c>
      <c r="C7" s="30" t="s">
        <v>19</v>
      </c>
      <c r="D7" s="1"/>
      <c r="E7" s="1"/>
      <c r="F7" s="1"/>
      <c r="G7" s="1"/>
    </row>
    <row r="8" spans="1:10" ht="10.5" customHeight="1" x14ac:dyDescent="0.2">
      <c r="A8" s="1"/>
      <c r="B8" s="28"/>
      <c r="C8" s="5"/>
      <c r="D8" s="1"/>
      <c r="E8" s="1"/>
      <c r="F8" s="1"/>
      <c r="G8" s="1"/>
    </row>
    <row r="9" spans="1:10" s="19" customFormat="1" ht="26.25" customHeight="1" x14ac:dyDescent="0.2">
      <c r="A9" s="13"/>
      <c r="B9" s="34" t="s">
        <v>7</v>
      </c>
      <c r="C9" s="35" t="s">
        <v>6</v>
      </c>
      <c r="D9" s="36" t="s">
        <v>8</v>
      </c>
      <c r="E9" s="37" t="s">
        <v>9</v>
      </c>
      <c r="F9" s="38" t="s">
        <v>5</v>
      </c>
      <c r="G9" s="39" t="s">
        <v>10</v>
      </c>
      <c r="H9" s="36" t="s">
        <v>11</v>
      </c>
      <c r="I9" s="35" t="s">
        <v>0</v>
      </c>
      <c r="J9" s="13"/>
    </row>
    <row r="10" spans="1:10" s="19" customFormat="1" ht="21.75" customHeight="1" x14ac:dyDescent="0.2">
      <c r="A10" s="13"/>
      <c r="B10" s="40">
        <v>45799</v>
      </c>
      <c r="C10" s="22" t="s">
        <v>26</v>
      </c>
      <c r="D10" s="14"/>
      <c r="E10" s="15"/>
      <c r="F10" s="16"/>
      <c r="G10" s="17">
        <v>0.66666666666666663</v>
      </c>
      <c r="H10" s="14">
        <v>0.72916666666666663</v>
      </c>
      <c r="I10" s="18">
        <f t="shared" ref="I10:I19" si="0">(E10-D10)+(H10-G10)</f>
        <v>6.25E-2</v>
      </c>
      <c r="J10" s="13"/>
    </row>
    <row r="11" spans="1:10" s="19" customFormat="1" ht="21.75" customHeight="1" x14ac:dyDescent="0.2">
      <c r="A11" s="13"/>
      <c r="B11" s="40">
        <v>45825</v>
      </c>
      <c r="C11" s="22" t="s">
        <v>22</v>
      </c>
      <c r="D11" s="14">
        <v>0.45833333333333331</v>
      </c>
      <c r="E11" s="15">
        <v>0.5</v>
      </c>
      <c r="F11" s="16"/>
      <c r="G11" s="17"/>
      <c r="H11" s="14"/>
      <c r="I11" s="18">
        <f>(E11-D11)+(H11-G11)</f>
        <v>4.1666666666666685E-2</v>
      </c>
      <c r="J11" s="13"/>
    </row>
    <row r="12" spans="1:10" s="19" customFormat="1" ht="21.75" customHeight="1" x14ac:dyDescent="0.2">
      <c r="A12" s="13"/>
      <c r="B12" s="40">
        <v>45838</v>
      </c>
      <c r="C12" s="22" t="s">
        <v>21</v>
      </c>
      <c r="D12" s="14">
        <v>0.47916666666666669</v>
      </c>
      <c r="E12" s="15">
        <v>0.52083333333333337</v>
      </c>
      <c r="F12" s="16"/>
      <c r="G12" s="17">
        <v>0.5625</v>
      </c>
      <c r="H12" s="14">
        <v>0.625</v>
      </c>
      <c r="I12" s="18">
        <f>(E12-D12)+(H12-G12)</f>
        <v>0.10416666666666669</v>
      </c>
      <c r="J12" s="13"/>
    </row>
    <row r="13" spans="1:10" ht="21.75" customHeight="1" x14ac:dyDescent="0.2">
      <c r="A13" s="5"/>
      <c r="B13" s="40">
        <v>45873</v>
      </c>
      <c r="C13" s="22" t="s">
        <v>30</v>
      </c>
      <c r="D13" s="14">
        <v>0.41666666666666669</v>
      </c>
      <c r="E13" s="15">
        <v>0.5</v>
      </c>
      <c r="F13" s="8"/>
      <c r="G13" s="17">
        <v>0.54166666666666663</v>
      </c>
      <c r="H13" s="14">
        <v>0.625</v>
      </c>
      <c r="I13" s="10">
        <f t="shared" si="0"/>
        <v>0.16666666666666669</v>
      </c>
      <c r="J13" s="5"/>
    </row>
    <row r="14" spans="1:10" ht="21.75" customHeight="1" x14ac:dyDescent="0.2">
      <c r="A14" s="5"/>
      <c r="B14" s="40">
        <v>45874</v>
      </c>
      <c r="C14" s="22" t="s">
        <v>30</v>
      </c>
      <c r="D14" s="14">
        <v>0.41666666666666669</v>
      </c>
      <c r="E14" s="15">
        <v>0.5</v>
      </c>
      <c r="F14" s="8"/>
      <c r="G14" s="17">
        <v>0.54166666666666663</v>
      </c>
      <c r="H14" s="14">
        <v>0.625</v>
      </c>
      <c r="I14" s="10">
        <f t="shared" si="0"/>
        <v>0.16666666666666669</v>
      </c>
      <c r="J14" s="5"/>
    </row>
    <row r="15" spans="1:10" ht="21.75" customHeight="1" x14ac:dyDescent="0.2">
      <c r="A15" s="5"/>
      <c r="B15" s="40">
        <v>45875</v>
      </c>
      <c r="C15" s="22" t="s">
        <v>31</v>
      </c>
      <c r="D15" s="14">
        <v>0.41666666666666669</v>
      </c>
      <c r="E15" s="15">
        <v>0.5</v>
      </c>
      <c r="F15" s="8"/>
      <c r="G15" s="17">
        <v>0.66666666666666663</v>
      </c>
      <c r="H15" s="14">
        <v>0.72916666666666663</v>
      </c>
      <c r="I15" s="10">
        <f t="shared" si="0"/>
        <v>0.14583333333333331</v>
      </c>
      <c r="J15" s="5"/>
    </row>
    <row r="16" spans="1:10" ht="21.75" customHeight="1" x14ac:dyDescent="0.2">
      <c r="A16" s="5"/>
      <c r="B16" s="40">
        <v>45876</v>
      </c>
      <c r="C16" s="22" t="s">
        <v>32</v>
      </c>
      <c r="D16" s="6"/>
      <c r="E16" s="7"/>
      <c r="F16" s="8"/>
      <c r="G16" s="17">
        <v>0.625</v>
      </c>
      <c r="H16" s="14">
        <v>0.70833333333333337</v>
      </c>
      <c r="I16" s="10">
        <f t="shared" si="0"/>
        <v>8.333333333333337E-2</v>
      </c>
      <c r="J16" s="5"/>
    </row>
    <row r="17" spans="1:15" ht="21.75" customHeight="1" x14ac:dyDescent="0.2">
      <c r="A17" s="5"/>
      <c r="B17" s="40">
        <v>45877</v>
      </c>
      <c r="C17" s="22" t="s">
        <v>32</v>
      </c>
      <c r="D17" s="14">
        <v>0.41666666666666669</v>
      </c>
      <c r="E17" s="15">
        <v>0.45833333333333331</v>
      </c>
      <c r="F17" s="8"/>
      <c r="G17" s="17">
        <v>0.66666666666666663</v>
      </c>
      <c r="H17" s="14">
        <v>0.70833333333333337</v>
      </c>
      <c r="I17" s="10">
        <f t="shared" si="0"/>
        <v>8.333333333333337E-2</v>
      </c>
      <c r="J17" s="5"/>
    </row>
    <row r="18" spans="1:15" ht="21.75" customHeight="1" x14ac:dyDescent="0.2">
      <c r="A18" s="5"/>
      <c r="B18" s="40"/>
      <c r="C18" s="22"/>
      <c r="D18" s="14"/>
      <c r="E18" s="15"/>
      <c r="F18" s="8"/>
      <c r="G18" s="9"/>
      <c r="H18" s="6"/>
      <c r="I18" s="10">
        <f>(E18-D18)+(H18-G18)</f>
        <v>0</v>
      </c>
      <c r="J18" s="5"/>
    </row>
    <row r="19" spans="1:15" ht="21.75" customHeight="1" x14ac:dyDescent="0.25">
      <c r="A19" s="5"/>
      <c r="B19" s="24"/>
      <c r="C19" s="21"/>
      <c r="D19" s="6"/>
      <c r="E19" s="7"/>
      <c r="F19" s="11"/>
      <c r="G19" s="9"/>
      <c r="H19" s="6"/>
      <c r="I19" s="10">
        <f t="shared" si="0"/>
        <v>0</v>
      </c>
      <c r="J19" s="5"/>
      <c r="O19"/>
    </row>
    <row r="20" spans="1:15" ht="21.75" customHeight="1" x14ac:dyDescent="0.2">
      <c r="A20" s="5"/>
      <c r="B20" s="5"/>
      <c r="C20" s="5"/>
      <c r="D20" s="5"/>
      <c r="E20" s="5"/>
      <c r="F20" s="5"/>
      <c r="G20" s="5"/>
    </row>
    <row r="21" spans="1:15" ht="21.75" customHeight="1" x14ac:dyDescent="0.2">
      <c r="A21" s="5"/>
      <c r="B21" s="5"/>
      <c r="C21" s="5"/>
      <c r="H21" s="12" t="s">
        <v>0</v>
      </c>
      <c r="I21" s="31">
        <f>SUM(I10:I19)</f>
        <v>0.85416666666666674</v>
      </c>
    </row>
    <row r="22" spans="1:15" ht="27" customHeight="1" x14ac:dyDescent="0.2">
      <c r="A22" s="5"/>
      <c r="B22" s="12" t="s">
        <v>1</v>
      </c>
      <c r="C22" s="1"/>
      <c r="H22" s="2" t="s">
        <v>2</v>
      </c>
      <c r="I22" s="33">
        <v>107.93</v>
      </c>
    </row>
    <row r="23" spans="1:15" ht="27" customHeight="1" x14ac:dyDescent="0.2">
      <c r="A23" s="5"/>
      <c r="B23" s="12" t="s">
        <v>3</v>
      </c>
      <c r="C23" s="1"/>
      <c r="H23" s="12" t="s">
        <v>4</v>
      </c>
      <c r="I23" s="32">
        <f>(I21*24)*I22</f>
        <v>2212.5650000000001</v>
      </c>
    </row>
    <row r="24" spans="1:15" ht="12.75" x14ac:dyDescent="0.2">
      <c r="A24" s="5"/>
      <c r="B24" s="5"/>
      <c r="C24" s="5"/>
      <c r="D24" s="5"/>
      <c r="E24" s="5"/>
      <c r="F24" s="5"/>
      <c r="G24" s="5"/>
    </row>
    <row r="25" spans="1:15" ht="12.75" x14ac:dyDescent="0.2">
      <c r="A25" s="5"/>
      <c r="B25" s="5"/>
      <c r="C25" s="5"/>
      <c r="D25" s="5"/>
      <c r="E25" s="5"/>
      <c r="F25" s="5"/>
      <c r="G25" s="5"/>
    </row>
    <row r="26" spans="1:15" ht="12.75" x14ac:dyDescent="0.2">
      <c r="A26" s="5"/>
      <c r="B26" s="5"/>
      <c r="C26" s="5"/>
      <c r="D26" s="5"/>
      <c r="E26" s="5"/>
      <c r="F26" s="5"/>
      <c r="G26" s="5"/>
    </row>
    <row r="27" spans="1:15" ht="18" customHeight="1" x14ac:dyDescent="0.2">
      <c r="A27" s="1"/>
      <c r="B27" s="4"/>
      <c r="C27" s="4"/>
      <c r="D27" s="1"/>
      <c r="E27" s="1"/>
      <c r="F27" s="1"/>
      <c r="G27" s="1"/>
    </row>
    <row r="28" spans="1:15" ht="17.25" customHeight="1" x14ac:dyDescent="0.2">
      <c r="A28" s="1"/>
      <c r="B28" s="4"/>
      <c r="C28" s="4"/>
      <c r="D28" s="1"/>
      <c r="I28" s="23"/>
    </row>
    <row r="29" spans="1:15" ht="11.25" customHeight="1" x14ac:dyDescent="0.2">
      <c r="A29" s="1"/>
      <c r="B29" s="1"/>
      <c r="C29" s="1"/>
      <c r="D29" s="1"/>
      <c r="E29" s="1"/>
      <c r="F29" s="1"/>
      <c r="G29" s="1"/>
    </row>
    <row r="30" spans="1:15" ht="12" customHeight="1" x14ac:dyDescent="0.2">
      <c r="A30" s="1"/>
      <c r="B30" s="1"/>
      <c r="C30" s="1"/>
      <c r="D30" s="1"/>
      <c r="E30" s="1"/>
      <c r="F30" s="2"/>
      <c r="G30" s="1"/>
    </row>
    <row r="31" spans="1:15" ht="12.75" x14ac:dyDescent="0.2">
      <c r="A31" s="1"/>
      <c r="B31" s="1"/>
      <c r="C31" s="1"/>
      <c r="D31" s="1"/>
      <c r="E31" s="2"/>
      <c r="G31" s="1"/>
    </row>
  </sheetData>
  <mergeCells count="2">
    <mergeCell ref="B2:I2"/>
    <mergeCell ref="B5:C5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Sila Ultanir</vt:lpstr>
      <vt:lpstr>Eachan Johnson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Guilherme Fernandes</cp:lastModifiedBy>
  <cp:lastPrinted>2025-07-01T11:49:34Z</cp:lastPrinted>
  <dcterms:created xsi:type="dcterms:W3CDTF">2016-10-17T08:25:17Z</dcterms:created>
  <dcterms:modified xsi:type="dcterms:W3CDTF">2026-01-22T14:19:44Z</dcterms:modified>
</cp:coreProperties>
</file>